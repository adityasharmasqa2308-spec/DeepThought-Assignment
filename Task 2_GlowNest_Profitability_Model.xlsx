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wNest Profitability Model" sheetId="1" r:id="rId5"/>
  </sheets>
  <definedNames/>
  <calcPr/>
</workbook>
</file>

<file path=xl/sharedStrings.xml><?xml version="1.0" encoding="utf-8"?>
<sst xmlns="http://schemas.openxmlformats.org/spreadsheetml/2006/main" count="66" uniqueCount="64">
  <si>
    <t>GlowNest — Amazon Profitability Model</t>
  </si>
  <si>
    <t>📥  INPUT SECTION  (Blue cells = change these)</t>
  </si>
  <si>
    <t>Input Parameter</t>
  </si>
  <si>
    <t>Value</t>
  </si>
  <si>
    <t>Selling Price (SP)</t>
  </si>
  <si>
    <t>Units Sold via Ads</t>
  </si>
  <si>
    <t>Cost of Goods Sold (COGS)</t>
  </si>
  <si>
    <t>Organic Units Sold</t>
  </si>
  <si>
    <t>Amazon Referral Fee %</t>
  </si>
  <si>
    <t>Fixed Costs / Month (₹)</t>
  </si>
  <si>
    <t>Monthly Ad Spend (₹)</t>
  </si>
  <si>
    <t>📊  OUTPUT SECTION  (Auto-calculated — do not edit)</t>
  </si>
  <si>
    <t>Output Metric</t>
  </si>
  <si>
    <t>Formula Used</t>
  </si>
  <si>
    <t>Calculated Value</t>
  </si>
  <si>
    <t>Interpretation</t>
  </si>
  <si>
    <t>Gross Margin per Unit (₹)</t>
  </si>
  <si>
    <t>SP minus COGS</t>
  </si>
  <si>
    <t>Profit before fees &amp; ads</t>
  </si>
  <si>
    <t>Amazon Fee per Unit (₹)</t>
  </si>
  <si>
    <t>SP x Fee %</t>
  </si>
  <si>
    <t>Platform cost per unit</t>
  </si>
  <si>
    <t>Ad Cost per Unit (₹)</t>
  </si>
  <si>
    <t>Ad Spend divided by Ad Units</t>
  </si>
  <si>
    <t>Cost to acquire 1 sale via ads</t>
  </si>
  <si>
    <t>Net Margin — Ad Units (₹)</t>
  </si>
  <si>
    <t>Gross minus Fee minus Ad Cost</t>
  </si>
  <si>
    <t>Profit per ad-attributed unit</t>
  </si>
  <si>
    <t>Net Margin — Organic Units (₹)</t>
  </si>
  <si>
    <t>Gross minus Fee</t>
  </si>
  <si>
    <t>Profit per organic unit (no ad cost)</t>
  </si>
  <si>
    <t>Total Monthly Revenue (₹)</t>
  </si>
  <si>
    <t>SP x (Ad Units + Organic Units)</t>
  </si>
  <si>
    <t>Total topline revenue</t>
  </si>
  <si>
    <t>Total Monthly Profit (₹)</t>
  </si>
  <si>
    <t>(NM_ad x Ad Units) + (NM_org x Org Units) minus Fixed</t>
  </si>
  <si>
    <t>Bottom line after all costs</t>
  </si>
  <si>
    <t>ACOS (%)</t>
  </si>
  <si>
    <t>Ad Spend divided by Ad Revenue</t>
  </si>
  <si>
    <t>Ad efficiency — lower is better</t>
  </si>
  <si>
    <t>TACOS (%)</t>
  </si>
  <si>
    <t>Ad Spend divided by Total Revenue</t>
  </si>
  <si>
    <t>Overall business health metric</t>
  </si>
  <si>
    <t>Break-Even Ad Spend (₹)</t>
  </si>
  <si>
    <t>Max spend where Ad Unit margin = 0</t>
  </si>
  <si>
    <t>Max ad spend before ad units = 0 margin</t>
  </si>
  <si>
    <t>🔍  SCENARIO ANALYSIS</t>
  </si>
  <si>
    <t>Scenario</t>
  </si>
  <si>
    <t>SP</t>
  </si>
  <si>
    <t>COGS</t>
  </si>
  <si>
    <t>Ad Spend</t>
  </si>
  <si>
    <t>Ad Units</t>
  </si>
  <si>
    <t>Organic Units</t>
  </si>
  <si>
    <t>Fixed Costs</t>
  </si>
  <si>
    <t>Monthly Profit</t>
  </si>
  <si>
    <t>ACOS</t>
  </si>
  <si>
    <t>TACOS</t>
  </si>
  <si>
    <t>Base Case</t>
  </si>
  <si>
    <t>Price Up ₹950</t>
  </si>
  <si>
    <t>COGS +20%</t>
  </si>
  <si>
    <t>Organic Growth</t>
  </si>
  <si>
    <t>Price War ₹700</t>
  </si>
  <si>
    <t>Scale ₹6L Spend</t>
  </si>
  <si>
    <t>📌  Legend:   🟡 Yellow = Input cells (change these)   🟢 Green = Calculated outputs   🔴 Red = Unprofitable   🟠 Orange = TACOS &gt; 15% warning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</si>
</sst>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0.0%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1.0"/>
      <color rgb="FF1F3864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0.0"/>
      <color rgb="FF0000FF"/>
      <name val="Arial"/>
    </font>
    <font>
      <i/>
      <sz val="10.0"/>
      <color rgb="FF595959"/>
      <name val="Arial"/>
    </font>
    <font>
      <sz val="10.0"/>
      <color rgb="FF000000"/>
      <name val="Arial"/>
    </font>
    <font>
      <sz val="10.0"/>
      <color rgb="FF595959"/>
      <name val="Arial"/>
    </font>
    <font>
      <i/>
      <sz val="9.0"/>
      <color rgb="FF59595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7" numFmtId="164" xfId="0" applyAlignment="1" applyBorder="1" applyFill="1" applyFont="1" applyNumberFormat="1">
      <alignment horizontal="right" shrinkToFit="0" vertical="center" wrapText="0"/>
    </xf>
    <xf borderId="5" fillId="4" fontId="3" numFmtId="0" xfId="0" applyAlignment="1" applyBorder="1" applyFont="1">
      <alignment shrinkToFit="0" vertical="bottom" wrapText="0"/>
    </xf>
    <xf borderId="4" fillId="6" fontId="7" numFmtId="3" xfId="0" applyAlignment="1" applyBorder="1" applyFont="1" applyNumberFormat="1">
      <alignment horizontal="right" shrinkToFit="0" vertical="center" wrapText="0"/>
    </xf>
    <xf borderId="4" fillId="6" fontId="7" numFmtId="165" xfId="0" applyAlignment="1" applyBorder="1" applyFont="1" applyNumberFormat="1">
      <alignment horizontal="right" shrinkToFit="0" vertical="center" wrapText="0"/>
    </xf>
    <xf borderId="4" fillId="0" fontId="7" numFmtId="0" xfId="0" applyAlignment="1" applyBorder="1" applyFont="1">
      <alignment horizontal="right" shrinkToFit="0" vertical="center" wrapText="0"/>
    </xf>
    <xf borderId="1" fillId="7" fontId="4" numFmtId="0" xfId="0" applyAlignment="1" applyBorder="1" applyFill="1" applyFont="1">
      <alignment horizontal="left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4" fillId="0" fontId="8" numFmtId="0" xfId="0" applyAlignment="1" applyBorder="1" applyFont="1">
      <alignment horizontal="left" shrinkToFit="0" vertical="center" wrapText="0"/>
    </xf>
    <xf borderId="4" fillId="8" fontId="9" numFmtId="164" xfId="0" applyAlignment="1" applyBorder="1" applyFill="1" applyFont="1" applyNumberFormat="1">
      <alignment horizontal="right" shrinkToFit="0" vertical="center" wrapText="0"/>
    </xf>
    <xf borderId="6" fillId="0" fontId="10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4" fillId="8" fontId="9" numFmtId="165" xfId="0" applyAlignment="1" applyBorder="1" applyFont="1" applyNumberFormat="1">
      <alignment horizontal="right" shrinkToFit="0" vertical="center" wrapText="0"/>
    </xf>
    <xf borderId="1" fillId="9" fontId="4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shrinkToFit="0" vertical="bottom" wrapText="0"/>
    </xf>
    <xf borderId="4" fillId="0" fontId="7" numFmtId="164" xfId="0" applyAlignment="1" applyBorder="1" applyFont="1" applyNumberFormat="1">
      <alignment horizontal="right" shrinkToFit="0" vertical="center" wrapText="0"/>
    </xf>
    <xf borderId="4" fillId="0" fontId="7" numFmtId="3" xfId="0" applyAlignment="1" applyBorder="1" applyFont="1" applyNumberFormat="1">
      <alignment horizontal="right" shrinkToFit="0" vertical="center" wrapText="0"/>
    </xf>
    <xf borderId="4" fillId="0" fontId="9" numFmtId="164" xfId="0" applyAlignment="1" applyBorder="1" applyFont="1" applyNumberFormat="1">
      <alignment horizontal="right" shrinkToFit="0" vertical="center" wrapText="0"/>
    </xf>
    <xf borderId="4" fillId="0" fontId="9" numFmtId="165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20.0"/>
    <col customWidth="1" min="4" max="4" width="35.0"/>
    <col customWidth="1" min="5" max="5" width="20.0"/>
    <col customWidth="1" min="6" max="7" width="16.0"/>
    <col customWidth="1" min="8" max="8" width="18.0"/>
    <col customWidth="1" min="9" max="10" width="12.0"/>
    <col customWidth="1" min="11" max="26" width="8.71"/>
  </cols>
  <sheetData>
    <row r="1" ht="34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</row>
    <row r="2" ht="21.75" customHeight="1">
      <c r="A2" s="5" t="s">
        <v>1</v>
      </c>
      <c r="B2" s="2"/>
      <c r="C2" s="2"/>
      <c r="D2" s="2"/>
      <c r="E2" s="3"/>
      <c r="F2" s="4"/>
      <c r="G2" s="4"/>
      <c r="H2" s="4"/>
      <c r="I2" s="4"/>
      <c r="J2" s="4"/>
    </row>
    <row r="3" ht="19.5" customHeight="1">
      <c r="A3" s="6" t="s">
        <v>2</v>
      </c>
      <c r="B3" s="6" t="s">
        <v>3</v>
      </c>
      <c r="C3" s="7"/>
      <c r="D3" s="6" t="s">
        <v>2</v>
      </c>
      <c r="E3" s="6" t="s">
        <v>3</v>
      </c>
      <c r="F3" s="4"/>
      <c r="G3" s="4"/>
      <c r="H3" s="4"/>
      <c r="I3" s="4"/>
      <c r="J3" s="4"/>
    </row>
    <row r="4" ht="19.5" customHeight="1">
      <c r="A4" s="8" t="s">
        <v>4</v>
      </c>
      <c r="B4" s="9">
        <v>800.0</v>
      </c>
      <c r="C4" s="10"/>
      <c r="D4" s="8" t="s">
        <v>5</v>
      </c>
      <c r="E4" s="11">
        <v>1500.0</v>
      </c>
      <c r="F4" s="4"/>
      <c r="G4" s="4"/>
      <c r="H4" s="4"/>
      <c r="I4" s="4"/>
      <c r="J4" s="4"/>
    </row>
    <row r="5" ht="19.5" customHeight="1">
      <c r="A5" s="8" t="s">
        <v>6</v>
      </c>
      <c r="B5" s="9">
        <v>280.0</v>
      </c>
      <c r="C5" s="10"/>
      <c r="D5" s="8" t="s">
        <v>7</v>
      </c>
      <c r="E5" s="11">
        <v>2000.0</v>
      </c>
      <c r="F5" s="4"/>
      <c r="G5" s="4"/>
      <c r="H5" s="4"/>
      <c r="I5" s="4"/>
      <c r="J5" s="4"/>
    </row>
    <row r="6" ht="19.5" customHeight="1">
      <c r="A6" s="8" t="s">
        <v>8</v>
      </c>
      <c r="B6" s="12">
        <v>0.12</v>
      </c>
      <c r="C6" s="10"/>
      <c r="D6" s="8" t="s">
        <v>9</v>
      </c>
      <c r="E6" s="11">
        <v>150000.0</v>
      </c>
      <c r="F6" s="4"/>
      <c r="G6" s="4"/>
      <c r="H6" s="4"/>
      <c r="I6" s="4"/>
      <c r="J6" s="4"/>
    </row>
    <row r="7" ht="19.5" customHeight="1">
      <c r="A7" s="8" t="s">
        <v>10</v>
      </c>
      <c r="B7" s="9">
        <v>300000.0</v>
      </c>
      <c r="C7" s="10"/>
      <c r="D7" s="8"/>
      <c r="E7" s="13"/>
      <c r="F7" s="4"/>
      <c r="G7" s="4"/>
      <c r="H7" s="4"/>
      <c r="I7" s="4"/>
      <c r="J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</row>
    <row r="9" ht="21.75" customHeight="1">
      <c r="A9" s="14" t="s">
        <v>11</v>
      </c>
      <c r="B9" s="2"/>
      <c r="C9" s="2"/>
      <c r="D9" s="2"/>
      <c r="E9" s="3"/>
      <c r="F9" s="4"/>
      <c r="G9" s="4"/>
      <c r="H9" s="4"/>
      <c r="I9" s="4"/>
      <c r="J9" s="4"/>
    </row>
    <row r="10" ht="19.5" customHeight="1">
      <c r="A10" s="6" t="s">
        <v>12</v>
      </c>
      <c r="B10" s="6" t="s">
        <v>13</v>
      </c>
      <c r="C10" s="6" t="s">
        <v>14</v>
      </c>
      <c r="D10" s="15" t="s">
        <v>15</v>
      </c>
      <c r="E10" s="16"/>
      <c r="F10" s="4"/>
      <c r="G10" s="4"/>
      <c r="H10" s="4"/>
      <c r="I10" s="4"/>
      <c r="J10" s="4"/>
    </row>
    <row r="11" ht="19.5" customHeight="1">
      <c r="A11" s="8" t="s">
        <v>16</v>
      </c>
      <c r="B11" s="17" t="s">
        <v>17</v>
      </c>
      <c r="C11" s="18">
        <f>B4-B5</f>
        <v>520</v>
      </c>
      <c r="D11" s="19" t="s">
        <v>18</v>
      </c>
      <c r="E11" s="20"/>
      <c r="F11" s="4"/>
      <c r="G11" s="4"/>
      <c r="H11" s="4"/>
      <c r="I11" s="4"/>
      <c r="J11" s="4"/>
    </row>
    <row r="12" ht="19.5" customHeight="1">
      <c r="A12" s="8" t="s">
        <v>19</v>
      </c>
      <c r="B12" s="17" t="s">
        <v>20</v>
      </c>
      <c r="C12" s="18">
        <f>B4*B6</f>
        <v>96</v>
      </c>
      <c r="D12" s="19" t="s">
        <v>21</v>
      </c>
      <c r="E12" s="20"/>
      <c r="F12" s="4"/>
      <c r="G12" s="4"/>
      <c r="H12" s="4"/>
      <c r="I12" s="4"/>
      <c r="J12" s="4"/>
    </row>
    <row r="13" ht="19.5" customHeight="1">
      <c r="A13" s="8" t="s">
        <v>22</v>
      </c>
      <c r="B13" s="17" t="s">
        <v>23</v>
      </c>
      <c r="C13" s="18">
        <f>B7/E4</f>
        <v>200</v>
      </c>
      <c r="D13" s="19" t="s">
        <v>24</v>
      </c>
      <c r="E13" s="20"/>
      <c r="F13" s="4"/>
      <c r="G13" s="4"/>
      <c r="H13" s="4"/>
      <c r="I13" s="4"/>
      <c r="J13" s="4"/>
    </row>
    <row r="14" ht="19.5" customHeight="1">
      <c r="A14" s="8" t="s">
        <v>25</v>
      </c>
      <c r="B14" s="17" t="s">
        <v>26</v>
      </c>
      <c r="C14" s="18">
        <f>C11-C12-C13</f>
        <v>224</v>
      </c>
      <c r="D14" s="19" t="s">
        <v>27</v>
      </c>
      <c r="E14" s="20"/>
      <c r="F14" s="4"/>
      <c r="G14" s="4"/>
      <c r="H14" s="4"/>
      <c r="I14" s="4"/>
      <c r="J14" s="4"/>
    </row>
    <row r="15" ht="19.5" customHeight="1">
      <c r="A15" s="8" t="s">
        <v>28</v>
      </c>
      <c r="B15" s="17" t="s">
        <v>29</v>
      </c>
      <c r="C15" s="18">
        <f>C11-C12</f>
        <v>424</v>
      </c>
      <c r="D15" s="19" t="s">
        <v>30</v>
      </c>
      <c r="E15" s="20"/>
      <c r="F15" s="4"/>
      <c r="G15" s="4"/>
      <c r="H15" s="4"/>
      <c r="I15" s="4"/>
      <c r="J15" s="4"/>
    </row>
    <row r="16" ht="19.5" customHeight="1">
      <c r="A16" s="8" t="s">
        <v>31</v>
      </c>
      <c r="B16" s="17" t="s">
        <v>32</v>
      </c>
      <c r="C16" s="18">
        <f>B4*(E4+E5)</f>
        <v>2800000</v>
      </c>
      <c r="D16" s="19" t="s">
        <v>33</v>
      </c>
      <c r="E16" s="20"/>
      <c r="F16" s="4"/>
      <c r="G16" s="4"/>
      <c r="H16" s="4"/>
      <c r="I16" s="4"/>
      <c r="J16" s="4"/>
    </row>
    <row r="17" ht="19.5" customHeight="1">
      <c r="A17" s="8" t="s">
        <v>34</v>
      </c>
      <c r="B17" s="17" t="s">
        <v>35</v>
      </c>
      <c r="C17" s="18">
        <f>(C14*E4)+(C15*E5)-E6</f>
        <v>1034000</v>
      </c>
      <c r="D17" s="19" t="s">
        <v>36</v>
      </c>
      <c r="E17" s="20"/>
      <c r="F17" s="4"/>
      <c r="G17" s="4"/>
      <c r="H17" s="4"/>
      <c r="I17" s="4"/>
      <c r="J17" s="4"/>
    </row>
    <row r="18" ht="19.5" customHeight="1">
      <c r="A18" s="8" t="s">
        <v>37</v>
      </c>
      <c r="B18" s="17" t="s">
        <v>38</v>
      </c>
      <c r="C18" s="21">
        <f>B7/(B4*E4)</f>
        <v>0.25</v>
      </c>
      <c r="D18" s="19" t="s">
        <v>39</v>
      </c>
      <c r="E18" s="20"/>
      <c r="F18" s="4"/>
      <c r="G18" s="4"/>
      <c r="H18" s="4"/>
      <c r="I18" s="4"/>
      <c r="J18" s="4"/>
    </row>
    <row r="19" ht="19.5" customHeight="1">
      <c r="A19" s="8" t="s">
        <v>40</v>
      </c>
      <c r="B19" s="17" t="s">
        <v>41</v>
      </c>
      <c r="C19" s="21">
        <f>B7/C16</f>
        <v>0.1071428571</v>
      </c>
      <c r="D19" s="19" t="s">
        <v>42</v>
      </c>
      <c r="E19" s="20"/>
      <c r="F19" s="4"/>
      <c r="G19" s="4"/>
      <c r="H19" s="4"/>
      <c r="I19" s="4"/>
      <c r="J19" s="4"/>
    </row>
    <row r="20" ht="19.5" customHeight="1">
      <c r="A20" s="8" t="s">
        <v>43</v>
      </c>
      <c r="B20" s="17" t="s">
        <v>44</v>
      </c>
      <c r="C20" s="18">
        <f>(C11-C12)*E4</f>
        <v>636000</v>
      </c>
      <c r="D20" s="19" t="s">
        <v>45</v>
      </c>
      <c r="E20" s="20"/>
      <c r="F20" s="4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21.75" customHeight="1">
      <c r="A22" s="22" t="s">
        <v>46</v>
      </c>
      <c r="B22" s="2"/>
      <c r="C22" s="2"/>
      <c r="D22" s="2"/>
      <c r="E22" s="3"/>
      <c r="F22" s="4"/>
      <c r="G22" s="4"/>
      <c r="H22" s="4"/>
      <c r="I22" s="4"/>
      <c r="J22" s="4"/>
    </row>
    <row r="23" ht="19.5" customHeight="1">
      <c r="A23" s="6" t="s">
        <v>47</v>
      </c>
      <c r="B23" s="6" t="s">
        <v>48</v>
      </c>
      <c r="C23" s="6" t="s">
        <v>49</v>
      </c>
      <c r="D23" s="6" t="s">
        <v>50</v>
      </c>
      <c r="E23" s="6" t="s">
        <v>51</v>
      </c>
      <c r="F23" s="6" t="s">
        <v>52</v>
      </c>
      <c r="G23" s="6" t="s">
        <v>53</v>
      </c>
      <c r="H23" s="6" t="s">
        <v>54</v>
      </c>
      <c r="I23" s="6" t="s">
        <v>55</v>
      </c>
      <c r="J23" s="6" t="s">
        <v>56</v>
      </c>
    </row>
    <row r="24" ht="19.5" customHeight="1">
      <c r="A24" s="23" t="s">
        <v>57</v>
      </c>
      <c r="B24" s="24">
        <v>800.0</v>
      </c>
      <c r="C24" s="24">
        <v>280.0</v>
      </c>
      <c r="D24" s="24">
        <v>300000.0</v>
      </c>
      <c r="E24" s="25">
        <v>1500.0</v>
      </c>
      <c r="F24" s="25">
        <v>2000.0</v>
      </c>
      <c r="G24" s="24">
        <v>150000.0</v>
      </c>
      <c r="H24" s="26">
        <f t="shared" ref="H24:H29" si="1">((B24-C24-D24/E24)*E24)+((B24-C24)*F24)-G24</f>
        <v>1370000</v>
      </c>
      <c r="I24" s="27">
        <f t="shared" ref="I24:I29" si="2">D24/(B24*E24)</f>
        <v>0.25</v>
      </c>
      <c r="J24" s="27">
        <f t="shared" ref="J24:J29" si="3">D24/(B24*(E24+F24))</f>
        <v>0.1071428571</v>
      </c>
    </row>
    <row r="25" ht="19.5" customHeight="1">
      <c r="A25" s="23" t="s">
        <v>58</v>
      </c>
      <c r="B25" s="24">
        <v>950.0</v>
      </c>
      <c r="C25" s="24">
        <v>280.0</v>
      </c>
      <c r="D25" s="24">
        <v>300000.0</v>
      </c>
      <c r="E25" s="25">
        <v>1500.0</v>
      </c>
      <c r="F25" s="25">
        <v>2000.0</v>
      </c>
      <c r="G25" s="24">
        <v>150000.0</v>
      </c>
      <c r="H25" s="26">
        <f t="shared" si="1"/>
        <v>1895000</v>
      </c>
      <c r="I25" s="27">
        <f t="shared" si="2"/>
        <v>0.2105263158</v>
      </c>
      <c r="J25" s="27">
        <f t="shared" si="3"/>
        <v>0.09022556391</v>
      </c>
    </row>
    <row r="26" ht="19.5" customHeight="1">
      <c r="A26" s="23" t="s">
        <v>59</v>
      </c>
      <c r="B26" s="24">
        <v>800.0</v>
      </c>
      <c r="C26" s="24">
        <v>336.0</v>
      </c>
      <c r="D26" s="24">
        <v>300000.0</v>
      </c>
      <c r="E26" s="25">
        <v>1500.0</v>
      </c>
      <c r="F26" s="25">
        <v>2000.0</v>
      </c>
      <c r="G26" s="24">
        <v>150000.0</v>
      </c>
      <c r="H26" s="26">
        <f t="shared" si="1"/>
        <v>1174000</v>
      </c>
      <c r="I26" s="27">
        <f t="shared" si="2"/>
        <v>0.25</v>
      </c>
      <c r="J26" s="27">
        <f t="shared" si="3"/>
        <v>0.1071428571</v>
      </c>
    </row>
    <row r="27" ht="19.5" customHeight="1">
      <c r="A27" s="23" t="s">
        <v>60</v>
      </c>
      <c r="B27" s="24">
        <v>800.0</v>
      </c>
      <c r="C27" s="24">
        <v>280.0</v>
      </c>
      <c r="D27" s="24">
        <v>300000.0</v>
      </c>
      <c r="E27" s="25">
        <v>1500.0</v>
      </c>
      <c r="F27" s="25">
        <v>3500.0</v>
      </c>
      <c r="G27" s="24">
        <v>150000.0</v>
      </c>
      <c r="H27" s="26">
        <f t="shared" si="1"/>
        <v>2150000</v>
      </c>
      <c r="I27" s="27">
        <f t="shared" si="2"/>
        <v>0.25</v>
      </c>
      <c r="J27" s="27">
        <f t="shared" si="3"/>
        <v>0.075</v>
      </c>
    </row>
    <row r="28" ht="19.5" customHeight="1">
      <c r="A28" s="23" t="s">
        <v>61</v>
      </c>
      <c r="B28" s="24">
        <v>700.0</v>
      </c>
      <c r="C28" s="24">
        <v>280.0</v>
      </c>
      <c r="D28" s="24">
        <v>300000.0</v>
      </c>
      <c r="E28" s="25">
        <v>1500.0</v>
      </c>
      <c r="F28" s="25">
        <v>2000.0</v>
      </c>
      <c r="G28" s="24">
        <v>150000.0</v>
      </c>
      <c r="H28" s="26">
        <f t="shared" si="1"/>
        <v>1020000</v>
      </c>
      <c r="I28" s="27">
        <f t="shared" si="2"/>
        <v>0.2857142857</v>
      </c>
      <c r="J28" s="27">
        <f t="shared" si="3"/>
        <v>0.1224489796</v>
      </c>
    </row>
    <row r="29" ht="19.5" customHeight="1">
      <c r="A29" s="23" t="s">
        <v>62</v>
      </c>
      <c r="B29" s="24">
        <v>800.0</v>
      </c>
      <c r="C29" s="24">
        <v>280.0</v>
      </c>
      <c r="D29" s="24">
        <v>600000.0</v>
      </c>
      <c r="E29" s="25">
        <v>2500.0</v>
      </c>
      <c r="F29" s="25">
        <v>2000.0</v>
      </c>
      <c r="G29" s="24">
        <v>150000.0</v>
      </c>
      <c r="H29" s="26">
        <f t="shared" si="1"/>
        <v>1590000</v>
      </c>
      <c r="I29" s="27">
        <f t="shared" si="2"/>
        <v>0.3</v>
      </c>
      <c r="J29" s="27">
        <f t="shared" si="3"/>
        <v>0.1666666667</v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8.0" customHeight="1">
      <c r="A31" s="28" t="s">
        <v>63</v>
      </c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16">
    <mergeCell ref="A1:E1"/>
    <mergeCell ref="A2:E2"/>
    <mergeCell ref="A9:E9"/>
    <mergeCell ref="D10:E10"/>
    <mergeCell ref="D11:E11"/>
    <mergeCell ref="D12:E12"/>
    <mergeCell ref="D13:E13"/>
    <mergeCell ref="A22:E22"/>
    <mergeCell ref="A31:E31"/>
    <mergeCell ref="D14:E14"/>
    <mergeCell ref="D15:E15"/>
    <mergeCell ref="D16:E16"/>
    <mergeCell ref="D17:E17"/>
    <mergeCell ref="D18:E18"/>
    <mergeCell ref="D19:E19"/>
    <mergeCell ref="D20:E20"/>
  </mergeCells>
  <conditionalFormatting sqref="H24:H29">
    <cfRule type="cellIs" dxfId="0" priority="1" operator="lessThan">
      <formula>0</formula>
    </cfRule>
  </conditionalFormatting>
  <conditionalFormatting sqref="H24:H29">
    <cfRule type="cellIs" dxfId="1" priority="2" operator="greaterThan">
      <formula>0</formula>
    </cfRule>
  </conditionalFormatting>
  <conditionalFormatting sqref="J24:J29">
    <cfRule type="cellIs" dxfId="2" priority="3" operator="greaterThan">
      <formula>0.15</formula>
    </cfRule>
  </conditionalFormatting>
  <conditionalFormatting sqref="I17">
    <cfRule type="cellIs" dxfId="0" priority="4" operator="greaterThan">
      <formula>0.35</formula>
    </cfRule>
  </conditionalFormatting>
  <conditionalFormatting sqref="C17">
    <cfRule type="cellIs" dxfId="0" priority="5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